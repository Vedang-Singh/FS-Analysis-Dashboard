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9103ae1580ef05/Desktop/"/>
    </mc:Choice>
  </mc:AlternateContent>
  <xr:revisionPtr revIDLastSave="104" documentId="8_{AE01641E-51DB-4C16-BB17-F8C31D7D0155}" xr6:coauthVersionLast="47" xr6:coauthVersionMax="47" xr10:uidLastSave="{3202E861-1CC9-432E-AE5F-E0B59E65FF52}"/>
  <bookViews>
    <workbookView xWindow="-120" yWindow="-120" windowWidth="29040" windowHeight="16440" activeTab="1" xr2:uid="{6D462B10-6C6C-4956-85A9-4D361E880437}"/>
  </bookViews>
  <sheets>
    <sheet name="BS" sheetId="2" r:id="rId1"/>
    <sheet name="P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C14" i="4"/>
  <c r="C18" i="4" s="1"/>
  <c r="D14" i="4"/>
  <c r="D18" i="4" s="1"/>
  <c r="E14" i="4"/>
  <c r="F14" i="4"/>
  <c r="F18" i="4" s="1"/>
  <c r="C4" i="4"/>
  <c r="D4" i="4"/>
  <c r="E4" i="4"/>
  <c r="F4" i="4"/>
  <c r="H43" i="2"/>
  <c r="G43" i="2"/>
  <c r="F43" i="2"/>
  <c r="H42" i="2"/>
  <c r="G42" i="2"/>
  <c r="F42" i="2"/>
  <c r="E43" i="2"/>
  <c r="E42" i="2"/>
  <c r="E23" i="2"/>
  <c r="F23" i="2"/>
  <c r="G23" i="2"/>
  <c r="H23" i="2"/>
  <c r="E31" i="2"/>
  <c r="F31" i="2"/>
  <c r="G31" i="2"/>
  <c r="H31" i="2"/>
  <c r="E40" i="2"/>
  <c r="F40" i="2"/>
  <c r="G40" i="2"/>
  <c r="H40" i="2"/>
  <c r="G19" i="2"/>
  <c r="H19" i="2"/>
  <c r="H10" i="2"/>
  <c r="G10" i="2"/>
  <c r="F19" i="2"/>
  <c r="F10" i="2"/>
  <c r="E19" i="2"/>
  <c r="E10" i="2"/>
</calcChain>
</file>

<file path=xl/sharedStrings.xml><?xml version="1.0" encoding="utf-8"?>
<sst xmlns="http://schemas.openxmlformats.org/spreadsheetml/2006/main" count="162" uniqueCount="58">
  <si>
    <t>Property, Plant and Equipment</t>
  </si>
  <si>
    <t>Intangible Assets</t>
  </si>
  <si>
    <t>Intangible Assets Under Development</t>
  </si>
  <si>
    <t>Loans</t>
  </si>
  <si>
    <t>Other Financial Assets</t>
  </si>
  <si>
    <t>Inventories</t>
  </si>
  <si>
    <t>Trade Receivables</t>
  </si>
  <si>
    <t>Cash and Cash Equivalents</t>
  </si>
  <si>
    <t>Other Current Assets</t>
  </si>
  <si>
    <t>Capital Work-in-Progress</t>
  </si>
  <si>
    <t>Other Non-Current Assets</t>
  </si>
  <si>
    <t>Type</t>
  </si>
  <si>
    <t>Investments</t>
  </si>
  <si>
    <t>Item</t>
  </si>
  <si>
    <t>Equity Share capital</t>
  </si>
  <si>
    <t>Other Equity</t>
  </si>
  <si>
    <t>Borrowings</t>
  </si>
  <si>
    <t>Lease Liabilities</t>
  </si>
  <si>
    <t>Other Financial Liabilities</t>
  </si>
  <si>
    <t>Provisions</t>
  </si>
  <si>
    <t>Deferred Tax Liabilities (Net)</t>
  </si>
  <si>
    <t>Other Non-Current Liabilities</t>
  </si>
  <si>
    <t>Other Current Liabilities</t>
  </si>
  <si>
    <t>Trade Payables (Micro &amp; Small)</t>
  </si>
  <si>
    <t>Trade Payables (Other)</t>
  </si>
  <si>
    <t>Total</t>
  </si>
  <si>
    <t>Assets Total</t>
  </si>
  <si>
    <t>Liabilities Total</t>
  </si>
  <si>
    <t>Revenue from Operations</t>
  </si>
  <si>
    <t>Income</t>
  </si>
  <si>
    <t>Other Income</t>
  </si>
  <si>
    <t>Total Income</t>
  </si>
  <si>
    <t>Cost of Materials Consumed</t>
  </si>
  <si>
    <t>Expenses</t>
  </si>
  <si>
    <t>Purchase of Stock-in-Trade</t>
  </si>
  <si>
    <t>Changes in Inventories</t>
  </si>
  <si>
    <t>Excise Duty</t>
  </si>
  <si>
    <t>Employee Benefits Expense</t>
  </si>
  <si>
    <t>Finance Costs</t>
  </si>
  <si>
    <t>Depreciation &amp; Amortization</t>
  </si>
  <si>
    <t>Other Expenses</t>
  </si>
  <si>
    <t>Total Expenses</t>
  </si>
  <si>
    <t>Current Tax</t>
  </si>
  <si>
    <t>Tax</t>
  </si>
  <si>
    <t>Deferred Tax</t>
  </si>
  <si>
    <t>Profit for the Year</t>
  </si>
  <si>
    <t>Asset</t>
  </si>
  <si>
    <t>Liability</t>
  </si>
  <si>
    <t>Equity</t>
  </si>
  <si>
    <t>Non-Current Asset</t>
  </si>
  <si>
    <t>Current Asset</t>
  </si>
  <si>
    <t>Non-Current Liability</t>
  </si>
  <si>
    <t>Current Liability</t>
  </si>
  <si>
    <t>Financial Asset</t>
  </si>
  <si>
    <t>Financial Liability</t>
  </si>
  <si>
    <t>Financial Asset / Financial Liability</t>
  </si>
  <si>
    <t>Sub-Current Asset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</si>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</sst>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14009]dd\ mmmm\ 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164" fontId="2" fillId="0" borderId="0" xfId="1" applyNumberFormat="1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0BC5-98EC-410B-962A-7822A04C62F1}">
  <dimension ref="A1:H43"/>
  <sheetViews>
    <sheetView zoomScale="130" zoomScaleNormal="130" workbookViewId="0">
      <selection activeCell="H1048576" sqref="H1048576"/>
    </sheetView>
  </sheetViews>
  <sheetFormatPr defaultRowHeight="15" x14ac:dyDescent="0.25"/>
  <cols>
    <col min="1" max="1" width="26.42578125" bestFit="1" customWidth="1"/>
    <col min="2" max="2" width="7.5703125" bestFit="1" customWidth="1"/>
    <col min="3" max="3" width="19.42578125" bestFit="1" customWidth="1"/>
    <col min="4" max="4" width="16.85546875" bestFit="1" customWidth="1"/>
    <col min="5" max="8" width="13.7109375" style="2" bestFit="1" customWidth="1"/>
  </cols>
  <sheetData>
    <row r="1" spans="1:8" s="7" customFormat="1" ht="36.75" customHeight="1" x14ac:dyDescent="0.25">
      <c r="B1" s="7" t="s">
        <v>11</v>
      </c>
      <c r="C1" s="7" t="s">
        <v>56</v>
      </c>
      <c r="D1" s="7" t="s">
        <v>55</v>
      </c>
      <c r="E1" s="8">
        <v>44651</v>
      </c>
      <c r="F1" s="8">
        <v>45016</v>
      </c>
      <c r="G1" s="8">
        <v>45382</v>
      </c>
      <c r="H1" s="8">
        <v>45747</v>
      </c>
    </row>
    <row r="2" spans="1:8" x14ac:dyDescent="0.25">
      <c r="A2" t="s">
        <v>0</v>
      </c>
      <c r="B2" t="s">
        <v>46</v>
      </c>
      <c r="C2" t="s">
        <v>49</v>
      </c>
      <c r="E2" s="2">
        <v>223824</v>
      </c>
      <c r="F2" s="2">
        <v>252967</v>
      </c>
      <c r="G2" s="2">
        <v>258911</v>
      </c>
      <c r="H2" s="2">
        <v>267096</v>
      </c>
    </row>
    <row r="3" spans="1:8" x14ac:dyDescent="0.25">
      <c r="A3" t="s">
        <v>1</v>
      </c>
      <c r="B3" t="s">
        <v>46</v>
      </c>
      <c r="C3" t="s">
        <v>49</v>
      </c>
      <c r="E3" s="2">
        <v>15802</v>
      </c>
      <c r="F3" s="2">
        <v>29334</v>
      </c>
      <c r="G3" s="2">
        <v>40719</v>
      </c>
      <c r="H3" s="2">
        <v>43951</v>
      </c>
    </row>
    <row r="4" spans="1:8" x14ac:dyDescent="0.25">
      <c r="A4" t="s">
        <v>9</v>
      </c>
      <c r="B4" t="s">
        <v>46</v>
      </c>
      <c r="C4" t="s">
        <v>49</v>
      </c>
      <c r="E4" s="2">
        <v>19267</v>
      </c>
      <c r="F4" s="2">
        <v>30972</v>
      </c>
      <c r="G4" s="2">
        <v>44294</v>
      </c>
      <c r="H4" s="2">
        <v>76322</v>
      </c>
    </row>
    <row r="5" spans="1:8" x14ac:dyDescent="0.25">
      <c r="A5" t="s">
        <v>2</v>
      </c>
      <c r="B5" t="s">
        <v>46</v>
      </c>
      <c r="C5" t="s">
        <v>49</v>
      </c>
      <c r="E5" s="2">
        <v>15395</v>
      </c>
      <c r="F5" s="2">
        <v>23385</v>
      </c>
      <c r="G5" s="2">
        <v>17338</v>
      </c>
      <c r="H5" s="2">
        <v>6095</v>
      </c>
    </row>
    <row r="6" spans="1:8" x14ac:dyDescent="0.25">
      <c r="A6" t="s">
        <v>12</v>
      </c>
      <c r="B6" t="s">
        <v>46</v>
      </c>
      <c r="C6" t="s">
        <v>49</v>
      </c>
      <c r="D6" t="s">
        <v>53</v>
      </c>
      <c r="E6" s="2">
        <v>330493</v>
      </c>
      <c r="F6" s="2">
        <v>265067</v>
      </c>
      <c r="G6" s="2">
        <v>301400</v>
      </c>
      <c r="H6" s="2">
        <v>333258</v>
      </c>
    </row>
    <row r="7" spans="1:8" x14ac:dyDescent="0.25">
      <c r="A7" t="s">
        <v>3</v>
      </c>
      <c r="B7" t="s">
        <v>46</v>
      </c>
      <c r="C7" t="s">
        <v>49</v>
      </c>
      <c r="D7" t="s">
        <v>53</v>
      </c>
      <c r="E7" s="2">
        <v>41951</v>
      </c>
      <c r="F7" s="2">
        <v>12431</v>
      </c>
      <c r="G7" s="2">
        <v>10051</v>
      </c>
      <c r="H7" s="2">
        <v>4941</v>
      </c>
    </row>
    <row r="8" spans="1:8" x14ac:dyDescent="0.25">
      <c r="A8" t="s">
        <v>4</v>
      </c>
      <c r="B8" t="s">
        <v>46</v>
      </c>
      <c r="C8" t="s">
        <v>49</v>
      </c>
      <c r="D8" t="s">
        <v>53</v>
      </c>
      <c r="E8" s="2">
        <v>2247</v>
      </c>
      <c r="F8" s="2">
        <v>2215</v>
      </c>
      <c r="G8" s="2">
        <v>16902</v>
      </c>
      <c r="H8" s="2">
        <v>15256</v>
      </c>
    </row>
    <row r="9" spans="1:8" x14ac:dyDescent="0.25">
      <c r="A9" t="s">
        <v>10</v>
      </c>
      <c r="B9" t="s">
        <v>46</v>
      </c>
      <c r="C9" t="s">
        <v>49</v>
      </c>
      <c r="E9" s="2">
        <v>7297</v>
      </c>
      <c r="F9" s="2">
        <v>2832</v>
      </c>
      <c r="G9" s="2">
        <v>7403</v>
      </c>
      <c r="H9" s="2">
        <v>5919</v>
      </c>
    </row>
    <row r="10" spans="1:8" x14ac:dyDescent="0.25">
      <c r="A10" s="6" t="s">
        <v>25</v>
      </c>
      <c r="B10" t="s">
        <v>25</v>
      </c>
      <c r="C10" t="s">
        <v>49</v>
      </c>
      <c r="E10" s="3">
        <f>SUM(E2:E9)</f>
        <v>656276</v>
      </c>
      <c r="F10" s="3">
        <f t="shared" ref="F10" si="0">SUM(F2:F9)</f>
        <v>619203</v>
      </c>
      <c r="G10" s="3">
        <f>SUM(G2:G9)</f>
        <v>697018</v>
      </c>
      <c r="H10" s="2">
        <f>SUM(H2:H9)</f>
        <v>752838</v>
      </c>
    </row>
    <row r="12" spans="1:8" x14ac:dyDescent="0.25">
      <c r="A12" t="s">
        <v>5</v>
      </c>
      <c r="B12" t="s">
        <v>46</v>
      </c>
      <c r="C12" t="s">
        <v>50</v>
      </c>
      <c r="E12" s="2">
        <v>45923</v>
      </c>
      <c r="F12" s="2">
        <v>84756</v>
      </c>
      <c r="G12" s="2">
        <v>85100</v>
      </c>
      <c r="H12" s="2">
        <v>89216</v>
      </c>
    </row>
    <row r="13" spans="1:8" x14ac:dyDescent="0.25">
      <c r="A13" t="s">
        <v>12</v>
      </c>
      <c r="B13" t="s">
        <v>46</v>
      </c>
      <c r="C13" t="s">
        <v>50</v>
      </c>
      <c r="D13" t="s">
        <v>53</v>
      </c>
      <c r="E13" s="2">
        <v>78304</v>
      </c>
      <c r="F13" s="2">
        <v>86074</v>
      </c>
      <c r="G13" s="2">
        <v>68663</v>
      </c>
      <c r="H13" s="2">
        <v>57102</v>
      </c>
    </row>
    <row r="14" spans="1:8" x14ac:dyDescent="0.25">
      <c r="A14" t="s">
        <v>6</v>
      </c>
      <c r="B14" t="s">
        <v>46</v>
      </c>
      <c r="C14" t="s">
        <v>50</v>
      </c>
      <c r="D14" t="s">
        <v>53</v>
      </c>
      <c r="E14" s="2">
        <v>14394</v>
      </c>
      <c r="F14" s="2">
        <v>24143</v>
      </c>
      <c r="G14" s="2">
        <v>14740</v>
      </c>
      <c r="H14" s="2">
        <v>15591</v>
      </c>
    </row>
    <row r="15" spans="1:8" x14ac:dyDescent="0.25">
      <c r="A15" t="s">
        <v>7</v>
      </c>
      <c r="B15" t="s">
        <v>46</v>
      </c>
      <c r="C15" t="s">
        <v>50</v>
      </c>
      <c r="D15" t="s">
        <v>53</v>
      </c>
      <c r="E15" s="2">
        <v>21714</v>
      </c>
      <c r="F15" s="2">
        <v>61007</v>
      </c>
      <c r="G15" s="2">
        <v>69248</v>
      </c>
      <c r="H15" s="2">
        <v>82471</v>
      </c>
    </row>
    <row r="16" spans="1:8" x14ac:dyDescent="0.25">
      <c r="A16" t="s">
        <v>3</v>
      </c>
      <c r="B16" t="s">
        <v>46</v>
      </c>
      <c r="C16" t="s">
        <v>50</v>
      </c>
      <c r="D16" t="s">
        <v>53</v>
      </c>
      <c r="E16" s="2">
        <v>161</v>
      </c>
      <c r="F16" s="2">
        <v>595</v>
      </c>
      <c r="G16" s="2">
        <v>0</v>
      </c>
      <c r="H16" s="2">
        <v>0</v>
      </c>
    </row>
    <row r="17" spans="1:8" x14ac:dyDescent="0.25">
      <c r="A17" t="s">
        <v>4</v>
      </c>
      <c r="B17" t="s">
        <v>46</v>
      </c>
      <c r="C17" t="s">
        <v>50</v>
      </c>
      <c r="D17" t="s">
        <v>53</v>
      </c>
      <c r="E17" s="2">
        <v>54901</v>
      </c>
      <c r="F17" s="2">
        <v>35109</v>
      </c>
      <c r="G17" s="2">
        <v>11747</v>
      </c>
      <c r="H17" s="2">
        <v>15218</v>
      </c>
    </row>
    <row r="18" spans="1:8" x14ac:dyDescent="0.25">
      <c r="A18" t="s">
        <v>8</v>
      </c>
      <c r="B18" t="s">
        <v>46</v>
      </c>
      <c r="C18" t="s">
        <v>50</v>
      </c>
      <c r="E18" s="2">
        <v>7001</v>
      </c>
      <c r="F18" s="2">
        <v>11773</v>
      </c>
      <c r="G18" s="2">
        <v>13127</v>
      </c>
      <c r="H18" s="2">
        <v>9965</v>
      </c>
    </row>
    <row r="19" spans="1:8" x14ac:dyDescent="0.25">
      <c r="A19" s="6" t="s">
        <v>25</v>
      </c>
      <c r="B19" t="s">
        <v>25</v>
      </c>
      <c r="C19" t="s">
        <v>50</v>
      </c>
      <c r="E19" s="3">
        <f t="shared" ref="E19" si="1">SUM(E12:E18)</f>
        <v>222398</v>
      </c>
      <c r="F19" s="3">
        <f t="shared" ref="F19" si="2">SUM(F12:F18)</f>
        <v>303457</v>
      </c>
      <c r="G19" s="3">
        <f>SUM(G12:G18)</f>
        <v>262625</v>
      </c>
      <c r="H19" s="3">
        <f>SUM(H12:H18)</f>
        <v>269563</v>
      </c>
    </row>
    <row r="21" spans="1:8" x14ac:dyDescent="0.25">
      <c r="A21" t="s">
        <v>14</v>
      </c>
      <c r="B21" t="s">
        <v>48</v>
      </c>
      <c r="C21" t="s">
        <v>48</v>
      </c>
      <c r="E21" s="1">
        <v>6765</v>
      </c>
      <c r="F21" s="1">
        <v>6766</v>
      </c>
      <c r="G21" s="1">
        <v>6766</v>
      </c>
      <c r="H21" s="1">
        <v>13532</v>
      </c>
    </row>
    <row r="22" spans="1:8" x14ac:dyDescent="0.25">
      <c r="A22" t="s">
        <v>15</v>
      </c>
      <c r="B22" t="s">
        <v>48</v>
      </c>
      <c r="C22" t="s">
        <v>48</v>
      </c>
      <c r="E22" s="1">
        <v>464762</v>
      </c>
      <c r="F22" s="1">
        <v>472312</v>
      </c>
      <c r="G22" s="1">
        <v>508330</v>
      </c>
      <c r="H22" s="1">
        <v>529555</v>
      </c>
    </row>
    <row r="23" spans="1:8" x14ac:dyDescent="0.25">
      <c r="A23" s="6" t="s">
        <v>25</v>
      </c>
      <c r="B23" t="s">
        <v>25</v>
      </c>
      <c r="C23" t="s">
        <v>48</v>
      </c>
      <c r="E23" s="4">
        <f>SUM(E21:E22)</f>
        <v>471527</v>
      </c>
      <c r="F23" s="4">
        <f>SUM(F21:F22)</f>
        <v>479078</v>
      </c>
      <c r="G23" s="4">
        <f>SUM(G21:G22)</f>
        <v>515096</v>
      </c>
      <c r="H23" s="4">
        <f>SUM(H21:H22)</f>
        <v>543087</v>
      </c>
    </row>
    <row r="24" spans="1:8" x14ac:dyDescent="0.25">
      <c r="E24" s="1"/>
      <c r="F24" s="1"/>
      <c r="G24" s="1"/>
      <c r="H24" s="1"/>
    </row>
    <row r="25" spans="1:8" x14ac:dyDescent="0.25">
      <c r="A25" t="s">
        <v>16</v>
      </c>
      <c r="B25" t="s">
        <v>47</v>
      </c>
      <c r="C25" t="s">
        <v>51</v>
      </c>
      <c r="D25" t="s">
        <v>54</v>
      </c>
      <c r="E25" s="1">
        <v>167231</v>
      </c>
      <c r="F25" s="1">
        <v>135561</v>
      </c>
      <c r="G25" s="1">
        <v>161059</v>
      </c>
      <c r="H25" s="1">
        <v>172025</v>
      </c>
    </row>
    <row r="26" spans="1:8" x14ac:dyDescent="0.25">
      <c r="A26" t="s">
        <v>17</v>
      </c>
      <c r="B26" t="s">
        <v>47</v>
      </c>
      <c r="C26" t="s">
        <v>51</v>
      </c>
      <c r="D26" t="s">
        <v>54</v>
      </c>
      <c r="E26" s="1">
        <v>2790</v>
      </c>
      <c r="F26" s="1">
        <v>2786</v>
      </c>
      <c r="G26" s="1">
        <v>2692</v>
      </c>
      <c r="H26" s="1">
        <v>2627</v>
      </c>
    </row>
    <row r="27" spans="1:8" x14ac:dyDescent="0.25">
      <c r="A27" t="s">
        <v>18</v>
      </c>
      <c r="B27" t="s">
        <v>47</v>
      </c>
      <c r="C27" t="s">
        <v>51</v>
      </c>
      <c r="D27" t="s">
        <v>54</v>
      </c>
      <c r="E27" s="1">
        <v>3210</v>
      </c>
      <c r="F27">
        <v>584</v>
      </c>
      <c r="G27">
        <v>0</v>
      </c>
      <c r="H27" s="1">
        <v>4397</v>
      </c>
    </row>
    <row r="28" spans="1:8" x14ac:dyDescent="0.25">
      <c r="A28" t="s">
        <v>19</v>
      </c>
      <c r="B28" t="s">
        <v>47</v>
      </c>
      <c r="C28" t="s">
        <v>51</v>
      </c>
      <c r="E28" s="1">
        <v>1598</v>
      </c>
      <c r="F28" s="1">
        <v>1296</v>
      </c>
      <c r="G28" s="1">
        <v>1701</v>
      </c>
      <c r="H28" s="1">
        <v>1767</v>
      </c>
    </row>
    <row r="29" spans="1:8" x14ac:dyDescent="0.25">
      <c r="A29" t="s">
        <v>20</v>
      </c>
      <c r="B29" t="s">
        <v>47</v>
      </c>
      <c r="C29" t="s">
        <v>51</v>
      </c>
      <c r="E29" s="1">
        <v>30832</v>
      </c>
      <c r="F29" s="1">
        <v>33968</v>
      </c>
      <c r="G29" s="1">
        <v>36259</v>
      </c>
      <c r="H29" s="1">
        <v>37390</v>
      </c>
    </row>
    <row r="30" spans="1:8" x14ac:dyDescent="0.25">
      <c r="A30" t="s">
        <v>21</v>
      </c>
      <c r="B30" t="s">
        <v>47</v>
      </c>
      <c r="C30" t="s">
        <v>51</v>
      </c>
      <c r="E30">
        <v>504</v>
      </c>
      <c r="F30">
        <v>0</v>
      </c>
      <c r="G30" s="1">
        <v>2822</v>
      </c>
      <c r="H30" s="1">
        <v>3173</v>
      </c>
    </row>
    <row r="31" spans="1:8" x14ac:dyDescent="0.25">
      <c r="A31" s="6" t="s">
        <v>25</v>
      </c>
      <c r="B31" t="s">
        <v>25</v>
      </c>
      <c r="C31" t="s">
        <v>51</v>
      </c>
      <c r="E31" s="4">
        <f>SUM(E25:E30)</f>
        <v>206165</v>
      </c>
      <c r="F31" s="4">
        <f>SUM(F25:F30)</f>
        <v>174195</v>
      </c>
      <c r="G31" s="4">
        <f>SUM(G25:G30)</f>
        <v>204533</v>
      </c>
      <c r="H31" s="4">
        <f>SUM(H25:H30)</f>
        <v>221379</v>
      </c>
    </row>
    <row r="32" spans="1:8" x14ac:dyDescent="0.25">
      <c r="E32"/>
      <c r="F32"/>
      <c r="G32" s="1"/>
      <c r="H32" s="1"/>
    </row>
    <row r="33" spans="1:8" x14ac:dyDescent="0.25">
      <c r="A33" t="s">
        <v>16</v>
      </c>
      <c r="B33" t="s">
        <v>47</v>
      </c>
      <c r="C33" t="s">
        <v>52</v>
      </c>
      <c r="D33" t="s">
        <v>54</v>
      </c>
      <c r="E33" s="1">
        <v>27332</v>
      </c>
      <c r="F33" s="1">
        <v>80262</v>
      </c>
      <c r="G33" s="1">
        <v>50731</v>
      </c>
      <c r="H33" s="1">
        <v>26788</v>
      </c>
    </row>
    <row r="34" spans="1:8" x14ac:dyDescent="0.25">
      <c r="A34" t="s">
        <v>17</v>
      </c>
      <c r="B34" t="s">
        <v>47</v>
      </c>
      <c r="C34" t="s">
        <v>52</v>
      </c>
      <c r="D34" t="s">
        <v>54</v>
      </c>
      <c r="E34">
        <v>86</v>
      </c>
      <c r="F34">
        <v>97</v>
      </c>
      <c r="G34">
        <v>93</v>
      </c>
      <c r="H34">
        <v>65</v>
      </c>
    </row>
    <row r="35" spans="1:8" x14ac:dyDescent="0.25">
      <c r="A35" t="s">
        <v>23</v>
      </c>
      <c r="B35" t="s">
        <v>47</v>
      </c>
      <c r="C35" t="s">
        <v>52</v>
      </c>
      <c r="D35" t="s">
        <v>54</v>
      </c>
      <c r="E35">
        <v>138</v>
      </c>
      <c r="F35">
        <v>533</v>
      </c>
      <c r="G35">
        <v>492</v>
      </c>
      <c r="H35" s="1">
        <v>1301</v>
      </c>
    </row>
    <row r="36" spans="1:8" x14ac:dyDescent="0.25">
      <c r="A36" t="s">
        <v>24</v>
      </c>
      <c r="B36" t="s">
        <v>47</v>
      </c>
      <c r="C36" t="s">
        <v>52</v>
      </c>
      <c r="D36" t="s">
        <v>54</v>
      </c>
      <c r="E36" s="1">
        <v>133867</v>
      </c>
      <c r="F36" s="1">
        <v>119278</v>
      </c>
      <c r="G36" s="1">
        <v>129367</v>
      </c>
      <c r="H36" s="1">
        <v>121078</v>
      </c>
    </row>
    <row r="37" spans="1:8" x14ac:dyDescent="0.25">
      <c r="A37" t="s">
        <v>18</v>
      </c>
      <c r="B37" t="s">
        <v>47</v>
      </c>
      <c r="C37" t="s">
        <v>52</v>
      </c>
      <c r="D37" t="s">
        <v>54</v>
      </c>
      <c r="E37" s="1">
        <v>33225</v>
      </c>
      <c r="F37" s="1">
        <v>42468</v>
      </c>
      <c r="G37" s="1">
        <v>27493</v>
      </c>
      <c r="H37" s="1">
        <v>35264</v>
      </c>
    </row>
    <row r="38" spans="1:8" x14ac:dyDescent="0.25">
      <c r="A38" t="s">
        <v>22</v>
      </c>
      <c r="B38" t="s">
        <v>47</v>
      </c>
      <c r="C38" t="s">
        <v>52</v>
      </c>
      <c r="E38" s="1">
        <v>5438</v>
      </c>
      <c r="F38" s="1">
        <v>25735</v>
      </c>
      <c r="G38" s="1">
        <v>30866</v>
      </c>
      <c r="H38" s="1">
        <v>72283</v>
      </c>
    </row>
    <row r="39" spans="1:8" x14ac:dyDescent="0.25">
      <c r="A39" t="s">
        <v>19</v>
      </c>
      <c r="B39" t="s">
        <v>47</v>
      </c>
      <c r="C39" t="s">
        <v>52</v>
      </c>
      <c r="E39">
        <v>896</v>
      </c>
      <c r="F39" s="1">
        <v>1014</v>
      </c>
      <c r="G39">
        <v>972</v>
      </c>
      <c r="H39" s="1">
        <v>1156</v>
      </c>
    </row>
    <row r="40" spans="1:8" x14ac:dyDescent="0.25">
      <c r="A40" s="6" t="s">
        <v>25</v>
      </c>
      <c r="B40" t="s">
        <v>25</v>
      </c>
      <c r="C40" t="s">
        <v>52</v>
      </c>
      <c r="E40" s="4">
        <f>SUM(E33:E39)</f>
        <v>200982</v>
      </c>
      <c r="F40" s="4">
        <f>SUM(F33:F39)</f>
        <v>269387</v>
      </c>
      <c r="G40" s="4">
        <f>SUM(G33:G39)</f>
        <v>240014</v>
      </c>
      <c r="H40" s="4">
        <f>SUM(H33:H39)</f>
        <v>257935</v>
      </c>
    </row>
    <row r="41" spans="1:8" x14ac:dyDescent="0.25">
      <c r="E41"/>
    </row>
    <row r="42" spans="1:8" x14ac:dyDescent="0.25">
      <c r="A42" s="6" t="s">
        <v>26</v>
      </c>
      <c r="B42" t="s">
        <v>25</v>
      </c>
      <c r="C42" t="s">
        <v>46</v>
      </c>
      <c r="E42" s="2">
        <f>E10+E19</f>
        <v>878674</v>
      </c>
      <c r="F42" s="2">
        <f t="shared" ref="F42:H42" si="3">F10+F19</f>
        <v>922660</v>
      </c>
      <c r="G42" s="2">
        <f t="shared" si="3"/>
        <v>959643</v>
      </c>
      <c r="H42" s="2">
        <f t="shared" si="3"/>
        <v>1022401</v>
      </c>
    </row>
    <row r="43" spans="1:8" x14ac:dyDescent="0.25">
      <c r="A43" s="6" t="s">
        <v>27</v>
      </c>
      <c r="B43" t="s">
        <v>25</v>
      </c>
      <c r="C43" t="s">
        <v>46</v>
      </c>
      <c r="E43" s="2">
        <f>E23+E31+E40</f>
        <v>878674</v>
      </c>
      <c r="F43" s="2">
        <f t="shared" ref="F43:H43" si="4">F23+F31+F40</f>
        <v>922660</v>
      </c>
      <c r="G43" s="2">
        <f t="shared" si="4"/>
        <v>959643</v>
      </c>
      <c r="H43" s="2">
        <f t="shared" si="4"/>
        <v>1022401</v>
      </c>
    </row>
  </sheetData>
  <pageMargins left="0.7" right="0.7" top="0.75" bottom="0.75" header="0.3" footer="0.3"/>
  <pageSetup paperSize="9" orientation="portrait" horizontalDpi="4294967293" r:id="rId1"/>
  <ignoredErrors>
    <ignoredError sqref="E10:H1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3A64-A233-4A4B-AF88-A08FBBF07147}">
  <dimension ref="A1:F18"/>
  <sheetViews>
    <sheetView tabSelected="1" topLeftCell="A11" zoomScale="190" zoomScaleNormal="190" workbookViewId="0">
      <selection activeCell="A19" sqref="A19"/>
    </sheetView>
  </sheetViews>
  <sheetFormatPr defaultRowHeight="15" x14ac:dyDescent="0.25"/>
  <cols>
    <col min="1" max="1" width="26.28515625" bestFit="1" customWidth="1"/>
    <col min="3" max="6" width="13.42578125" bestFit="1" customWidth="1"/>
  </cols>
  <sheetData>
    <row r="1" spans="1:6" s="5" customFormat="1" x14ac:dyDescent="0.25">
      <c r="A1" s="5" t="s">
        <v>13</v>
      </c>
      <c r="B1" s="5" t="s">
        <v>11</v>
      </c>
      <c r="C1" s="8">
        <v>44651</v>
      </c>
      <c r="D1" s="8">
        <v>45016</v>
      </c>
      <c r="E1" s="8">
        <v>45382</v>
      </c>
      <c r="F1" s="8">
        <v>45747</v>
      </c>
    </row>
    <row r="2" spans="1:6" x14ac:dyDescent="0.25">
      <c r="A2" t="s">
        <v>28</v>
      </c>
      <c r="B2" t="s">
        <v>29</v>
      </c>
      <c r="C2" s="1">
        <v>443995</v>
      </c>
      <c r="D2" s="1">
        <v>552823</v>
      </c>
      <c r="E2" s="1">
        <v>547942</v>
      </c>
      <c r="F2" s="1">
        <v>532792</v>
      </c>
    </row>
    <row r="3" spans="1:6" x14ac:dyDescent="0.25">
      <c r="A3" t="s">
        <v>30</v>
      </c>
      <c r="B3" t="s">
        <v>29</v>
      </c>
      <c r="C3" s="1">
        <v>13843</v>
      </c>
      <c r="D3" s="1">
        <v>11149</v>
      </c>
      <c r="E3" s="1">
        <v>12128</v>
      </c>
      <c r="F3" s="1">
        <v>16094</v>
      </c>
    </row>
    <row r="4" spans="1:6" x14ac:dyDescent="0.25">
      <c r="A4" s="6" t="s">
        <v>31</v>
      </c>
      <c r="B4" t="s">
        <v>25</v>
      </c>
      <c r="C4" s="4">
        <f t="shared" ref="C4:F4" si="0">SUM(C2:C3)</f>
        <v>457838</v>
      </c>
      <c r="D4" s="4">
        <f t="shared" si="0"/>
        <v>563972</v>
      </c>
      <c r="E4" s="4">
        <f t="shared" si="0"/>
        <v>560070</v>
      </c>
      <c r="F4" s="4">
        <f t="shared" si="0"/>
        <v>548886</v>
      </c>
    </row>
    <row r="5" spans="1:6" x14ac:dyDescent="0.25">
      <c r="C5" s="1"/>
      <c r="D5" s="1"/>
      <c r="E5" s="1"/>
      <c r="F5" s="1"/>
    </row>
    <row r="6" spans="1:6" x14ac:dyDescent="0.25">
      <c r="A6" t="s">
        <v>32</v>
      </c>
      <c r="B6" t="s">
        <v>33</v>
      </c>
      <c r="C6" s="1">
        <v>320852</v>
      </c>
      <c r="D6" s="1">
        <v>399644</v>
      </c>
      <c r="E6" s="1">
        <v>376418</v>
      </c>
      <c r="F6" s="1">
        <v>384021</v>
      </c>
    </row>
    <row r="7" spans="1:6" x14ac:dyDescent="0.25">
      <c r="A7" t="s">
        <v>34</v>
      </c>
      <c r="B7" t="s">
        <v>33</v>
      </c>
      <c r="C7" s="1">
        <v>10691</v>
      </c>
      <c r="D7" s="1">
        <v>9974</v>
      </c>
      <c r="E7" s="1">
        <v>13453</v>
      </c>
      <c r="F7" s="1">
        <v>15864</v>
      </c>
    </row>
    <row r="8" spans="1:6" x14ac:dyDescent="0.25">
      <c r="A8" t="s">
        <v>35</v>
      </c>
      <c r="B8" t="s">
        <v>33</v>
      </c>
      <c r="C8" s="1">
        <v>-7962</v>
      </c>
      <c r="D8" s="1">
        <v>-5862</v>
      </c>
      <c r="E8" s="1">
        <v>2700</v>
      </c>
      <c r="F8" s="1">
        <v>-10679</v>
      </c>
    </row>
    <row r="9" spans="1:6" x14ac:dyDescent="0.25">
      <c r="A9" t="s">
        <v>36</v>
      </c>
      <c r="B9" t="s">
        <v>33</v>
      </c>
      <c r="C9" s="1">
        <v>21672</v>
      </c>
      <c r="D9" s="1">
        <v>13476</v>
      </c>
      <c r="E9" s="1">
        <v>13408</v>
      </c>
      <c r="F9" s="1">
        <v>15443</v>
      </c>
    </row>
    <row r="10" spans="1:6" x14ac:dyDescent="0.25">
      <c r="A10" t="s">
        <v>37</v>
      </c>
      <c r="B10" t="s">
        <v>33</v>
      </c>
      <c r="C10" s="1">
        <v>5419</v>
      </c>
      <c r="D10" s="1">
        <v>6265</v>
      </c>
      <c r="E10" s="1">
        <v>7807</v>
      </c>
      <c r="F10" s="1">
        <v>8690</v>
      </c>
    </row>
    <row r="11" spans="1:6" x14ac:dyDescent="0.25">
      <c r="A11" t="s">
        <v>38</v>
      </c>
      <c r="B11" t="s">
        <v>33</v>
      </c>
      <c r="C11" s="1">
        <v>9123</v>
      </c>
      <c r="D11" s="1">
        <v>12633</v>
      </c>
      <c r="E11" s="1">
        <v>13430</v>
      </c>
      <c r="F11" s="1">
        <v>10054</v>
      </c>
    </row>
    <row r="12" spans="1:6" x14ac:dyDescent="0.25">
      <c r="A12" t="s">
        <v>39</v>
      </c>
      <c r="B12" t="s">
        <v>33</v>
      </c>
      <c r="C12" s="1">
        <v>10264</v>
      </c>
      <c r="D12" s="1">
        <v>11167</v>
      </c>
      <c r="E12" s="1">
        <v>17690</v>
      </c>
      <c r="F12" s="1">
        <v>17981</v>
      </c>
    </row>
    <row r="13" spans="1:6" x14ac:dyDescent="0.25">
      <c r="A13" t="s">
        <v>40</v>
      </c>
      <c r="B13" t="s">
        <v>33</v>
      </c>
      <c r="C13" s="1">
        <v>42383</v>
      </c>
      <c r="D13" s="1">
        <v>62557</v>
      </c>
      <c r="E13" s="1">
        <v>59891</v>
      </c>
      <c r="F13" s="1">
        <v>61384</v>
      </c>
    </row>
    <row r="14" spans="1:6" x14ac:dyDescent="0.25">
      <c r="A14" s="6" t="s">
        <v>41</v>
      </c>
      <c r="B14" t="s">
        <v>25</v>
      </c>
      <c r="C14" s="4">
        <f t="shared" ref="C14:F14" si="1">SUM(C6:C13)</f>
        <v>412442</v>
      </c>
      <c r="D14" s="4">
        <f t="shared" si="1"/>
        <v>509854</v>
      </c>
      <c r="E14" s="4">
        <f t="shared" si="1"/>
        <v>504797</v>
      </c>
      <c r="F14" s="4">
        <f t="shared" si="1"/>
        <v>502758</v>
      </c>
    </row>
    <row r="15" spans="1:6" x14ac:dyDescent="0.25">
      <c r="C15" s="1"/>
      <c r="D15" s="1"/>
      <c r="E15" s="1"/>
      <c r="F15" s="1"/>
    </row>
    <row r="16" spans="1:6" x14ac:dyDescent="0.25">
      <c r="A16" t="s">
        <v>42</v>
      </c>
      <c r="B16" t="s">
        <v>43</v>
      </c>
      <c r="C16">
        <v>544</v>
      </c>
      <c r="D16" s="1">
        <v>6186</v>
      </c>
      <c r="E16" s="1">
        <v>10922</v>
      </c>
      <c r="F16" s="1">
        <v>9399</v>
      </c>
    </row>
    <row r="17" spans="1:6" x14ac:dyDescent="0.25">
      <c r="A17" t="s">
        <v>44</v>
      </c>
      <c r="B17" t="s">
        <v>43</v>
      </c>
      <c r="C17" s="1">
        <v>6915</v>
      </c>
      <c r="D17" s="1">
        <v>4930</v>
      </c>
      <c r="E17" s="1">
        <v>2309</v>
      </c>
      <c r="F17" s="1">
        <v>1467</v>
      </c>
    </row>
    <row r="18" spans="1:6" x14ac:dyDescent="0.25">
      <c r="A18" s="6" t="s">
        <v>45</v>
      </c>
      <c r="B18" t="s">
        <v>57</v>
      </c>
      <c r="C18" s="4">
        <f>C4-C14-C16-C17</f>
        <v>37937</v>
      </c>
      <c r="D18" s="4">
        <f>D4-D14-D16-D17</f>
        <v>43002</v>
      </c>
      <c r="E18" s="4">
        <f>E4-E14-E16-E17</f>
        <v>42042</v>
      </c>
      <c r="F18" s="4">
        <f>F4-F14-F16-F17</f>
        <v>35262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vedang singh</dc:creator>
  <cp:lastModifiedBy>vedang singh</cp:lastModifiedBy>
  <dcterms:created xsi:type="dcterms:W3CDTF">2026-02-27T20:14:50Z</dcterms:created>
  <dcterms:modified xsi:type="dcterms:W3CDTF">2026-03-08T20:46:15Z</dcterms:modified>
</cp:coreProperties>
</file>